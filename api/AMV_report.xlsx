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CCA987C5-D924-4CA7-99B8-C61226C801E0}" xr6:coauthVersionLast="47" xr6:coauthVersionMax="47" xr10:uidLastSave="{00000000-0000-0000-0000-000000000000}"/>
  <bookViews>
    <workbookView xWindow="-120" yWindow="-120" windowWidth="15600" windowHeight="11160" tabRatio="500" activeTab="1" xr2:uid="{00000000-000D-0000-FFFF-FFFF00000000}"/>
  </bookViews>
  <sheets>
    <sheet name="Product Info" sheetId="1" r:id="rId1"/>
    <sheet name="Validation Data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78" i="2" l="1"/>
  <c r="G76" i="2"/>
  <c r="H76" i="2" s="1"/>
  <c r="E76" i="2"/>
  <c r="D75" i="2"/>
  <c r="H73" i="2"/>
  <c r="G73" i="2"/>
  <c r="E73" i="2"/>
  <c r="D72" i="2"/>
  <c r="G70" i="2"/>
  <c r="H70" i="2" s="1"/>
  <c r="E70" i="2"/>
  <c r="D69" i="2"/>
  <c r="H67" i="2"/>
  <c r="G67" i="2"/>
  <c r="E67" i="2"/>
  <c r="C62" i="2"/>
  <c r="C61" i="2"/>
  <c r="C63" i="2" s="1"/>
  <c r="C55" i="2"/>
  <c r="C56" i="2" s="1"/>
  <c r="C54" i="2"/>
  <c r="C48" i="2"/>
  <c r="C49" i="2" s="1"/>
  <c r="C47" i="2"/>
  <c r="F39" i="2"/>
  <c r="D39" i="2"/>
  <c r="D40" i="2" s="1"/>
  <c r="B39" i="2"/>
  <c r="D32" i="2"/>
  <c r="D31" i="2"/>
  <c r="B31" i="2"/>
  <c r="B32" i="2" s="1"/>
  <c r="E30" i="2"/>
  <c r="C30" i="2"/>
  <c r="F24" i="2"/>
  <c r="D24" i="2"/>
  <c r="D25" i="2" s="1"/>
  <c r="B24" i="2"/>
  <c r="B25" i="2" s="1"/>
  <c r="G23" i="2"/>
  <c r="E23" i="2"/>
  <c r="C23" i="2"/>
  <c r="B16" i="2"/>
  <c r="D84" i="2" s="1"/>
  <c r="B14" i="2"/>
  <c r="B15" i="2" s="1"/>
  <c r="B13" i="2"/>
  <c r="B9" i="2"/>
  <c r="F73" i="2" s="1"/>
  <c r="B7" i="2"/>
  <c r="B8" i="2" s="1"/>
  <c r="B6" i="2"/>
  <c r="D60" i="2" l="1"/>
  <c r="G24" i="2"/>
  <c r="D76" i="2"/>
  <c r="C39" i="2"/>
  <c r="F76" i="2"/>
  <c r="F70" i="2"/>
  <c r="G39" i="2"/>
  <c r="E21" i="2"/>
  <c r="G22" i="2"/>
  <c r="F25" i="2"/>
  <c r="E29" i="2"/>
  <c r="C31" i="2"/>
  <c r="C37" i="2"/>
  <c r="E38" i="2"/>
  <c r="B40" i="2"/>
  <c r="D45" i="2"/>
  <c r="D51" i="2"/>
  <c r="F67" i="2"/>
  <c r="D73" i="2"/>
  <c r="D77" i="2"/>
  <c r="G21" i="2"/>
  <c r="C24" i="2"/>
  <c r="C28" i="2"/>
  <c r="C36" i="2"/>
  <c r="E37" i="2"/>
  <c r="G38" i="2"/>
  <c r="E39" i="2"/>
  <c r="D46" i="2"/>
  <c r="D52" i="2"/>
  <c r="D58" i="2"/>
  <c r="D70" i="2"/>
  <c r="D74" i="2"/>
  <c r="D82" i="2"/>
  <c r="C22" i="2"/>
  <c r="E28" i="2"/>
  <c r="E31" i="2"/>
  <c r="E36" i="2"/>
  <c r="G37" i="2"/>
  <c r="F40" i="2"/>
  <c r="D53" i="2"/>
  <c r="D59" i="2"/>
  <c r="D67" i="2"/>
  <c r="D71" i="2"/>
  <c r="C21" i="2"/>
  <c r="E22" i="2"/>
  <c r="E24" i="2"/>
  <c r="C29" i="2"/>
  <c r="G36" i="2"/>
  <c r="C38" i="2"/>
  <c r="D44" i="2"/>
  <c r="D68" i="2"/>
  <c r="D47" i="2" l="1"/>
  <c r="D48" i="2"/>
  <c r="D49" i="2" s="1"/>
  <c r="D62" i="2"/>
  <c r="D61" i="2"/>
  <c r="D55" i="2"/>
  <c r="D54" i="2"/>
  <c r="D56" i="2" l="1"/>
  <c r="D63" i="2"/>
</calcChain>
</file>

<file path=xl/sharedStrings.xml><?xml version="1.0" encoding="utf-8"?>
<sst xmlns="http://schemas.openxmlformats.org/spreadsheetml/2006/main" count="160" uniqueCount="92">
  <si>
    <t>Product Information</t>
  </si>
  <si>
    <t>Product Name</t>
  </si>
  <si>
    <t>Avanafil</t>
  </si>
  <si>
    <t>Active Ingredient</t>
  </si>
  <si>
    <t>MVL Number</t>
  </si>
  <si>
    <t>MVL-524</t>
  </si>
  <si>
    <t>Testing Procedure</t>
  </si>
  <si>
    <t>RD-AVN-SM</t>
  </si>
  <si>
    <t>HPLC ID</t>
  </si>
  <si>
    <t>QC-196</t>
  </si>
  <si>
    <t>CPL/WS/25/AVN/038</t>
  </si>
  <si>
    <t>15048002-AVN</t>
  </si>
  <si>
    <t>Purity</t>
  </si>
  <si>
    <t>Strength (mg)</t>
  </si>
  <si>
    <t>– Method Validation Data</t>
  </si>
  <si>
    <t>1. System Suitability – Assay</t>
  </si>
  <si>
    <t>Day 1</t>
  </si>
  <si>
    <t>Std 1</t>
  </si>
  <si>
    <t>Std 2</t>
  </si>
  <si>
    <t>Std 3</t>
  </si>
  <si>
    <t>Std 4</t>
  </si>
  <si>
    <t>Std 5</t>
  </si>
  <si>
    <t>Std 6</t>
  </si>
  <si>
    <t>Area</t>
  </si>
  <si>
    <t>AV</t>
  </si>
  <si>
    <t>SD</t>
  </si>
  <si>
    <t>RSD (%)</t>
  </si>
  <si>
    <t>Day 2</t>
  </si>
  <si>
    <t>2. Linearity</t>
  </si>
  <si>
    <t>Sample</t>
  </si>
  <si>
    <t>80% Area</t>
  </si>
  <si>
    <t>80% Result</t>
  </si>
  <si>
    <t>90% Area</t>
  </si>
  <si>
    <t>90% Result</t>
  </si>
  <si>
    <t>100% Area</t>
  </si>
  <si>
    <t>100% Result</t>
  </si>
  <si>
    <t>Spl1</t>
  </si>
  <si>
    <t>Spl2</t>
  </si>
  <si>
    <t>Spl3</t>
  </si>
  <si>
    <t>Av</t>
  </si>
  <si>
    <t>RSD%</t>
  </si>
  <si>
    <t>110% Area</t>
  </si>
  <si>
    <t>110% Result</t>
  </si>
  <si>
    <t>120% Area</t>
  </si>
  <si>
    <t>120% Result</t>
  </si>
  <si>
    <t>3. Accuracy &amp; Recovery</t>
  </si>
  <si>
    <t>80% Recovery%</t>
  </si>
  <si>
    <t>100% Recovery%</t>
  </si>
  <si>
    <t>120% Recovery%</t>
  </si>
  <si>
    <t>4. Intermediate Precision</t>
  </si>
  <si>
    <t>Analyst / Day</t>
  </si>
  <si>
    <t>% Result</t>
  </si>
  <si>
    <t>Analyst 1 – Day 1</t>
  </si>
  <si>
    <t>Avg</t>
  </si>
  <si>
    <t>Analyst 2 – Day 1</t>
  </si>
  <si>
    <t>Analyst 1 – Day 2</t>
  </si>
  <si>
    <t>5. Forced Degradation</t>
  </si>
  <si>
    <t>Condition</t>
  </si>
  <si>
    <t>Av Area</t>
  </si>
  <si>
    <t>Av % Result</t>
  </si>
  <si>
    <t>Acid Degradation</t>
  </si>
  <si>
    <t>Base Degradation</t>
  </si>
  <si>
    <t>H₂O₂ Degradation</t>
  </si>
  <si>
    <t>Heat Treated</t>
  </si>
  <si>
    <t>6. Robustness</t>
  </si>
  <si>
    <t>Flow Rate</t>
  </si>
  <si>
    <t>Type</t>
  </si>
  <si>
    <t>0.9 ml/min</t>
  </si>
  <si>
    <t>Std</t>
  </si>
  <si>
    <t>Spl</t>
  </si>
  <si>
    <t>1.1 ml/min</t>
  </si>
  <si>
    <t>7. LOD &amp; LOQ</t>
  </si>
  <si>
    <t>Parameter</t>
  </si>
  <si>
    <t>mg/ml</t>
  </si>
  <si>
    <t>µg/ml</t>
  </si>
  <si>
    <t>Area at Value</t>
  </si>
  <si>
    <t>Std Error</t>
  </si>
  <si>
    <t>Slope (R²=0.9989)</t>
  </si>
  <si>
    <t>Multiple R</t>
  </si>
  <si>
    <t>Observations</t>
  </si>
  <si>
    <t>LOD</t>
  </si>
  <si>
    <t>LOQ</t>
  </si>
  <si>
    <t>8. Linearity Chart</t>
  </si>
  <si>
    <t>Conc (mg/ml)</t>
  </si>
  <si>
    <t>Avanafil 200mg Tablets</t>
  </si>
  <si>
    <t>Test</t>
  </si>
  <si>
    <t>Assay of Avanafil</t>
  </si>
  <si>
    <t>MVER Number</t>
  </si>
  <si>
    <t>Working Standard</t>
  </si>
  <si>
    <t>Batch #</t>
  </si>
  <si>
    <t>Starting Material/Product</t>
  </si>
  <si>
    <t>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</si>
</sst>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0"/>
    <numFmt numFmtId="166" formatCode="0.000"/>
  </numFmts>
  <fonts count="7" x14ac:knownFonts="1">
    <font>
      <sz val="11"/>
      <color theme="1"/>
      <name val="Calibri"/>
      <family val="2"/>
      <charset val="1"/>
    </font>
    <font>
      <b/>
      <sz val="12"/>
      <color rgb="FFFFFFFF"/>
      <name val="Times New Roman"/>
      <family val="1"/>
      <charset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4"/>
      <color rgb="FFFFFFFF"/>
      <name val="Times New Roman"/>
      <family val="1"/>
      <charset val="1"/>
    </font>
    <font>
      <b/>
      <sz val="10"/>
      <name val="Times New Roman"/>
      <family val="1"/>
      <charset val="1"/>
    </font>
    <font>
      <sz val="10"/>
      <name val="Times New Roman"/>
      <family val="1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BDD7EE"/>
        <bgColor rgb="FFD9D9D9"/>
      </patternFill>
    </fill>
    <fill>
      <patternFill patternType="solid">
        <fgColor rgb="FFFFFFFF"/>
        <bgColor rgb="FFFFFFCC"/>
      </patternFill>
    </fill>
    <fill>
      <patternFill patternType="solid">
        <fgColor rgb="FFD6E4F0"/>
        <bgColor rgb="FFD9D9D9"/>
      </patternFill>
    </fill>
  </fills>
  <borders count="3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3" borderId="2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1" fontId="6" fillId="5" borderId="2" xfId="0" applyNumberFormat="1" applyFont="1" applyFill="1" applyBorder="1" applyAlignment="1">
      <alignment horizontal="center" vertical="center"/>
    </xf>
    <xf numFmtId="2" fontId="6" fillId="4" borderId="2" xfId="0" applyNumberFormat="1" applyFont="1" applyFill="1" applyBorder="1" applyAlignment="1">
      <alignment horizontal="center" vertical="center"/>
    </xf>
    <xf numFmtId="2" fontId="6" fillId="5" borderId="2" xfId="0" applyNumberFormat="1" applyFont="1" applyFill="1" applyBorder="1" applyAlignment="1">
      <alignment horizontal="center" vertical="center"/>
    </xf>
    <xf numFmtId="1" fontId="6" fillId="4" borderId="2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2" fontId="5" fillId="5" borderId="2" xfId="0" applyNumberFormat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1" fontId="5" fillId="5" borderId="2" xfId="0" applyNumberFormat="1" applyFont="1" applyFill="1" applyBorder="1" applyAlignment="1">
      <alignment horizontal="center" vertical="center"/>
    </xf>
    <xf numFmtId="164" fontId="6" fillId="4" borderId="2" xfId="0" applyNumberFormat="1" applyFont="1" applyFill="1" applyBorder="1" applyAlignment="1">
      <alignment horizontal="center" vertical="center"/>
    </xf>
    <xf numFmtId="165" fontId="6" fillId="4" borderId="2" xfId="0" applyNumberFormat="1" applyFont="1" applyFill="1" applyBorder="1" applyAlignment="1">
      <alignment horizontal="center" vertical="center"/>
    </xf>
    <xf numFmtId="166" fontId="6" fillId="4" borderId="2" xfId="0" applyNumberFormat="1" applyFont="1" applyFill="1" applyBorder="1" applyAlignment="1">
      <alignment horizontal="center" vertical="center"/>
    </xf>
    <xf numFmtId="165" fontId="6" fillId="5" borderId="2" xfId="0" applyNumberFormat="1" applyFont="1" applyFill="1" applyBorder="1" applyAlignment="1">
      <alignment horizontal="center" vertical="center"/>
    </xf>
    <xf numFmtId="164" fontId="6" fillId="5" borderId="2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FFFCC"/>
      <rgbColor rgb="FFD6E4F0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Linearity (Area vs Concentration)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Area vs Conc</c:v>
          </c:tx>
          <c:spPr>
            <a:ln w="47520">
              <a:solidFill>
                <a:srgbClr val="2E75B6"/>
              </a:solidFill>
              <a:round/>
            </a:ln>
          </c:spPr>
          <c:marker>
            <c:symbol val="circle"/>
            <c:size val="7"/>
            <c:spPr>
              <a:solidFill>
                <a:srgbClr val="2E75B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'Validation Data'!$I$95:$I$99</c:f>
              <c:numCache>
                <c:formatCode>General</c:formatCode>
                <c:ptCount val="5"/>
                <c:pt idx="0">
                  <c:v>0.1215</c:v>
                </c:pt>
                <c:pt idx="1">
                  <c:v>0.13500000000000001</c:v>
                </c:pt>
                <c:pt idx="2">
                  <c:v>0.15</c:v>
                </c:pt>
                <c:pt idx="3">
                  <c:v>0.16500000000000001</c:v>
                </c:pt>
                <c:pt idx="4">
                  <c:v>0.18149999999999999</c:v>
                </c:pt>
              </c:numCache>
            </c:numRef>
          </c:xVal>
          <c:yVal>
            <c:numRef>
              <c:f>'Validation Data'!$J$95:$J$99</c:f>
              <c:numCache>
                <c:formatCode>General</c:formatCode>
                <c:ptCount val="5"/>
                <c:pt idx="0">
                  <c:v>8032482.5</c:v>
                </c:pt>
                <c:pt idx="1">
                  <c:v>9103237</c:v>
                </c:pt>
                <c:pt idx="2">
                  <c:v>10122452.5</c:v>
                </c:pt>
                <c:pt idx="3">
                  <c:v>11136603.5</c:v>
                </c:pt>
                <c:pt idx="4">
                  <c:v>12235850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538-42B5-9A5A-D0C8778C0C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757934"/>
        <c:axId val="22783818"/>
      </c:scatterChart>
      <c:valAx>
        <c:axId val="5975793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Concentration (mg/ml)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783818"/>
        <c:crosses val="autoZero"/>
        <c:crossBetween val="midCat"/>
      </c:valAx>
      <c:valAx>
        <c:axId val="227838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Peak Area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757934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91</xdr:row>
      <xdr:rowOff>126360</xdr:rowOff>
    </xdr:from>
    <xdr:to>
      <xdr:col>6</xdr:col>
      <xdr:colOff>204480</xdr:colOff>
      <xdr:row>114</xdr:row>
      <xdr:rowOff>62280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zoomScaleNormal="100" workbookViewId="0">
      <selection activeCell="E9" sqref="E9"/>
    </sheetView>
  </sheetViews>
  <sheetFormatPr defaultColWidth="8.7109375" defaultRowHeight="15" x14ac:dyDescent="0.25"/>
  <cols>
    <col min="1" max="1" width="28" customWidth="1"/>
    <col min="2" max="2" width="40" customWidth="1"/>
  </cols>
  <sheetData>
    <row r="1" spans="1:2" ht="15" customHeight="1" x14ac:dyDescent="0.25">
      <c r="A1" s="19" t="s">
        <v>0</v>
      </c>
      <c r="B1" s="19"/>
    </row>
    <row r="2" spans="1:2" ht="15" customHeight="1" x14ac:dyDescent="0.25">
      <c r="A2" s="1" t="s">
        <v>1</v>
      </c>
      <c r="B2" s="2" t="s">
        <v>84</v>
      </c>
    </row>
    <row r="3" spans="1:2" ht="15" customHeight="1" x14ac:dyDescent="0.25">
      <c r="A3" s="1" t="s">
        <v>90</v>
      </c>
      <c r="B3" s="2" t="s">
        <v>91</v>
      </c>
    </row>
    <row r="4" spans="1:2" ht="15" customHeight="1" x14ac:dyDescent="0.25">
      <c r="A4" s="1" t="s">
        <v>3</v>
      </c>
      <c r="B4" s="2" t="s">
        <v>2</v>
      </c>
    </row>
    <row r="5" spans="1:2" ht="15" customHeight="1" x14ac:dyDescent="0.25">
      <c r="A5" s="1" t="s">
        <v>4</v>
      </c>
      <c r="B5" s="2" t="s">
        <v>5</v>
      </c>
    </row>
    <row r="6" spans="1:2" ht="15" customHeight="1" x14ac:dyDescent="0.25">
      <c r="A6" s="1" t="s">
        <v>87</v>
      </c>
      <c r="B6" s="2"/>
    </row>
    <row r="7" spans="1:2" ht="15" customHeight="1" x14ac:dyDescent="0.25">
      <c r="A7" s="1" t="s">
        <v>85</v>
      </c>
      <c r="B7" s="2" t="s">
        <v>86</v>
      </c>
    </row>
    <row r="8" spans="1:2" ht="15" customHeight="1" x14ac:dyDescent="0.25">
      <c r="A8" s="1" t="s">
        <v>6</v>
      </c>
      <c r="B8" s="2" t="s">
        <v>7</v>
      </c>
    </row>
    <row r="9" spans="1:2" ht="15" customHeight="1" x14ac:dyDescent="0.25">
      <c r="A9" s="1" t="s">
        <v>8</v>
      </c>
      <c r="B9" s="2" t="s">
        <v>9</v>
      </c>
    </row>
    <row r="10" spans="1:2" ht="15" customHeight="1" x14ac:dyDescent="0.25">
      <c r="A10" s="1" t="s">
        <v>88</v>
      </c>
      <c r="B10" s="2" t="s">
        <v>10</v>
      </c>
    </row>
    <row r="11" spans="1:2" ht="15" customHeight="1" x14ac:dyDescent="0.25">
      <c r="A11" s="1" t="s">
        <v>89</v>
      </c>
      <c r="B11" s="2" t="s">
        <v>11</v>
      </c>
    </row>
    <row r="12" spans="1:2" ht="15" customHeight="1" x14ac:dyDescent="0.25">
      <c r="A12" s="1" t="s">
        <v>12</v>
      </c>
      <c r="B12" s="2">
        <v>99.66</v>
      </c>
    </row>
    <row r="13" spans="1:2" ht="15" customHeight="1" x14ac:dyDescent="0.25">
      <c r="A13" s="1" t="s">
        <v>13</v>
      </c>
      <c r="B13" s="2">
        <v>200</v>
      </c>
    </row>
    <row r="14" spans="1:2" ht="15" customHeight="1" x14ac:dyDescent="0.25">
      <c r="A14" s="1"/>
      <c r="B14" s="2"/>
    </row>
    <row r="15" spans="1:2" ht="15" customHeight="1" x14ac:dyDescent="0.25">
      <c r="A15" s="1"/>
      <c r="B15" s="2"/>
    </row>
    <row r="16" spans="1:2" ht="15" customHeight="1" x14ac:dyDescent="0.25">
      <c r="A16" s="1"/>
      <c r="B16" s="2"/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9"/>
  <sheetViews>
    <sheetView tabSelected="1" zoomScale="90" zoomScaleNormal="90" workbookViewId="0">
      <pane ySplit="1" topLeftCell="A76" activePane="bottomLeft" state="frozen"/>
      <selection pane="bottomLeft" activeCell="C84" sqref="C84"/>
    </sheetView>
  </sheetViews>
  <sheetFormatPr defaultColWidth="8.7109375" defaultRowHeight="15" x14ac:dyDescent="0.25"/>
  <cols>
    <col min="1" max="1" width="24" customWidth="1"/>
    <col min="2" max="8" width="13" customWidth="1"/>
    <col min="9" max="10" width="14" customWidth="1"/>
  </cols>
  <sheetData>
    <row r="1" spans="1:8" ht="17.25" customHeight="1" x14ac:dyDescent="0.25">
      <c r="A1" s="20" t="s">
        <v>14</v>
      </c>
      <c r="B1" s="20"/>
      <c r="C1" s="20"/>
      <c r="D1" s="20"/>
      <c r="E1" s="20"/>
      <c r="F1" s="20"/>
      <c r="G1" s="20"/>
      <c r="H1" s="20"/>
    </row>
    <row r="3" spans="1:8" ht="15" customHeight="1" x14ac:dyDescent="0.25">
      <c r="A3" s="19" t="s">
        <v>15</v>
      </c>
      <c r="B3" s="19"/>
      <c r="C3" s="19"/>
      <c r="D3" s="19"/>
      <c r="E3" s="19"/>
      <c r="F3" s="19"/>
      <c r="G3" s="19"/>
      <c r="H3" s="19"/>
    </row>
    <row r="4" spans="1:8" ht="15" customHeight="1" x14ac:dyDescent="0.25">
      <c r="A4" s="3" t="s">
        <v>16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21</v>
      </c>
      <c r="G4" s="3" t="s">
        <v>22</v>
      </c>
      <c r="H4" s="3"/>
    </row>
    <row r="5" spans="1:8" ht="15" customHeight="1" x14ac:dyDescent="0.25">
      <c r="A5" s="4" t="s">
        <v>23</v>
      </c>
      <c r="B5" s="4">
        <v>10120780</v>
      </c>
      <c r="C5" s="4">
        <v>10042552</v>
      </c>
      <c r="D5" s="4">
        <v>10034339</v>
      </c>
      <c r="E5" s="4">
        <v>10070220</v>
      </c>
      <c r="F5" s="4">
        <v>10071068</v>
      </c>
      <c r="G5" s="4">
        <v>10094898</v>
      </c>
      <c r="H5" s="4"/>
    </row>
    <row r="6" spans="1:8" ht="15" customHeight="1" x14ac:dyDescent="0.25">
      <c r="A6" s="5" t="s">
        <v>24</v>
      </c>
      <c r="B6" s="6">
        <f>AVERAGE(B5:G5)</f>
        <v>10072309.5</v>
      </c>
      <c r="C6" s="5"/>
      <c r="D6" s="5"/>
      <c r="E6" s="5"/>
      <c r="F6" s="5"/>
      <c r="G6" s="5"/>
      <c r="H6" s="5"/>
    </row>
    <row r="7" spans="1:8" ht="15" customHeight="1" x14ac:dyDescent="0.25">
      <c r="A7" s="4" t="s">
        <v>25</v>
      </c>
      <c r="B7" s="7">
        <f>STDEV(B5:G5)</f>
        <v>32226.711627157991</v>
      </c>
      <c r="C7" s="4"/>
      <c r="D7" s="4"/>
      <c r="E7" s="4"/>
      <c r="F7" s="4"/>
      <c r="G7" s="4"/>
      <c r="H7" s="4"/>
    </row>
    <row r="8" spans="1:8" ht="15" customHeight="1" x14ac:dyDescent="0.25">
      <c r="A8" s="5" t="s">
        <v>26</v>
      </c>
      <c r="B8" s="8">
        <f>B7/B6*100</f>
        <v>0.31995354816249433</v>
      </c>
      <c r="C8" s="5"/>
      <c r="D8" s="5"/>
      <c r="E8" s="5"/>
      <c r="F8" s="5"/>
      <c r="G8" s="5"/>
      <c r="H8" s="5"/>
    </row>
    <row r="9" spans="1:8" ht="15" customHeight="1" x14ac:dyDescent="0.25">
      <c r="A9" s="4" t="s">
        <v>12</v>
      </c>
      <c r="B9" s="7">
        <f>'Product Info'!B12</f>
        <v>99.66</v>
      </c>
      <c r="C9" s="4"/>
      <c r="D9" s="4"/>
      <c r="E9" s="4"/>
      <c r="F9" s="4"/>
      <c r="G9" s="4"/>
      <c r="H9" s="4"/>
    </row>
    <row r="11" spans="1:8" ht="15" customHeight="1" x14ac:dyDescent="0.25">
      <c r="A11" s="3" t="s">
        <v>27</v>
      </c>
      <c r="B11" s="3" t="s">
        <v>17</v>
      </c>
      <c r="C11" s="3" t="s">
        <v>18</v>
      </c>
      <c r="D11" s="3" t="s">
        <v>19</v>
      </c>
      <c r="E11" s="3" t="s">
        <v>20</v>
      </c>
      <c r="F11" s="3" t="s">
        <v>21</v>
      </c>
      <c r="G11" s="3" t="s">
        <v>22</v>
      </c>
      <c r="H11" s="3"/>
    </row>
    <row r="12" spans="1:8" ht="15" customHeight="1" x14ac:dyDescent="0.25">
      <c r="A12" s="4" t="s">
        <v>23</v>
      </c>
      <c r="B12" s="4">
        <v>10084389</v>
      </c>
      <c r="C12" s="4">
        <v>10268089</v>
      </c>
      <c r="D12" s="4">
        <v>10028546</v>
      </c>
      <c r="E12" s="4">
        <v>10017729</v>
      </c>
      <c r="F12" s="4">
        <v>10203830</v>
      </c>
      <c r="G12" s="4">
        <v>10175347</v>
      </c>
      <c r="H12" s="4"/>
    </row>
    <row r="13" spans="1:8" ht="15" customHeight="1" x14ac:dyDescent="0.25">
      <c r="A13" s="5" t="s">
        <v>24</v>
      </c>
      <c r="B13" s="6">
        <f>AVERAGE(B12:G12)</f>
        <v>10129655</v>
      </c>
      <c r="C13" s="5"/>
      <c r="D13" s="5"/>
      <c r="E13" s="5"/>
      <c r="F13" s="5"/>
      <c r="G13" s="5"/>
      <c r="H13" s="5"/>
    </row>
    <row r="14" spans="1:8" ht="15" customHeight="1" x14ac:dyDescent="0.25">
      <c r="A14" s="4" t="s">
        <v>25</v>
      </c>
      <c r="B14" s="7">
        <f>STDEV(B12:G12)</f>
        <v>101541.25462884532</v>
      </c>
      <c r="C14" s="4"/>
      <c r="D14" s="4"/>
      <c r="E14" s="4"/>
      <c r="F14" s="4"/>
      <c r="G14" s="4"/>
      <c r="H14" s="4"/>
    </row>
    <row r="15" spans="1:8" ht="15" customHeight="1" x14ac:dyDescent="0.25">
      <c r="A15" s="5" t="s">
        <v>26</v>
      </c>
      <c r="B15" s="8">
        <f>B14/B13*100</f>
        <v>1.0024157252033294</v>
      </c>
      <c r="C15" s="5"/>
      <c r="D15" s="5"/>
      <c r="E15" s="5"/>
      <c r="F15" s="5"/>
      <c r="G15" s="5"/>
      <c r="H15" s="5"/>
    </row>
    <row r="16" spans="1:8" ht="15" customHeight="1" x14ac:dyDescent="0.25">
      <c r="A16" s="4" t="s">
        <v>12</v>
      </c>
      <c r="B16" s="7">
        <f>'Product Info'!B12</f>
        <v>99.66</v>
      </c>
      <c r="C16" s="4"/>
      <c r="D16" s="4"/>
      <c r="E16" s="4"/>
      <c r="F16" s="4"/>
      <c r="G16" s="4"/>
      <c r="H16" s="4"/>
    </row>
    <row r="19" spans="1:8" ht="15" customHeight="1" x14ac:dyDescent="0.25">
      <c r="A19" s="19" t="s">
        <v>28</v>
      </c>
      <c r="B19" s="19"/>
      <c r="C19" s="19"/>
      <c r="D19" s="19"/>
      <c r="E19" s="19"/>
      <c r="F19" s="19"/>
      <c r="G19" s="19"/>
      <c r="H19" s="19"/>
    </row>
    <row r="20" spans="1:8" ht="15" customHeight="1" x14ac:dyDescent="0.25">
      <c r="A20" s="3" t="s">
        <v>29</v>
      </c>
      <c r="B20" s="3" t="s">
        <v>30</v>
      </c>
      <c r="C20" s="3" t="s">
        <v>31</v>
      </c>
      <c r="D20" s="3" t="s">
        <v>32</v>
      </c>
      <c r="E20" s="3" t="s">
        <v>33</v>
      </c>
      <c r="F20" s="3" t="s">
        <v>34</v>
      </c>
      <c r="G20" s="3" t="s">
        <v>35</v>
      </c>
      <c r="H20" s="3"/>
    </row>
    <row r="21" spans="1:8" ht="15" customHeight="1" x14ac:dyDescent="0.25">
      <c r="A21" s="4" t="s">
        <v>36</v>
      </c>
      <c r="B21" s="9">
        <v>8033543</v>
      </c>
      <c r="C21" s="7">
        <f>IFERROR(IF(B21="","",B21/$B$6*$B$9),"")</f>
        <v>79.487519260602539</v>
      </c>
      <c r="D21" s="9">
        <v>9080096</v>
      </c>
      <c r="E21" s="7">
        <f>IFERROR(IF(D21="","",D21/$B$6*$B$9),"")</f>
        <v>89.842589463717331</v>
      </c>
      <c r="F21" s="9">
        <v>10100181</v>
      </c>
      <c r="G21" s="7">
        <f>IFERROR(IF(F21="","",F21/$B$6*$B$9),"")</f>
        <v>99.935773266300032</v>
      </c>
      <c r="H21" s="4"/>
    </row>
    <row r="22" spans="1:8" ht="15" customHeight="1" x14ac:dyDescent="0.25">
      <c r="A22" s="5" t="s">
        <v>37</v>
      </c>
      <c r="B22" s="6">
        <v>8031422</v>
      </c>
      <c r="C22" s="8">
        <f>IFERROR(IF(B22="","",B22/$B$6*$B$9),"")</f>
        <v>79.466533124304803</v>
      </c>
      <c r="D22" s="6">
        <v>9126378</v>
      </c>
      <c r="E22" s="8">
        <f>IFERROR(IF(D22="","",D22/$B$6*$B$9),"")</f>
        <v>90.300524569861551</v>
      </c>
      <c r="F22" s="6">
        <v>10144724</v>
      </c>
      <c r="G22" s="8">
        <f>IFERROR(IF(F22="","",F22/$B$6*$B$9),"")</f>
        <v>100.37650191745993</v>
      </c>
      <c r="H22" s="5"/>
    </row>
    <row r="23" spans="1:8" ht="15" customHeight="1" x14ac:dyDescent="0.25">
      <c r="A23" s="4" t="s">
        <v>38</v>
      </c>
      <c r="B23" s="9"/>
      <c r="C23" s="7" t="str">
        <f>IFERROR(IF(B23="","",B23/$B$6*$B$9),"")</f>
        <v/>
      </c>
      <c r="D23" s="9"/>
      <c r="E23" s="7" t="str">
        <f>IFERROR(IF(D23="","",D23/$B$6*$B$9),"")</f>
        <v/>
      </c>
      <c r="F23" s="9"/>
      <c r="G23" s="7" t="str">
        <f>IFERROR(IF(F23="","",F23/$B$6*$B$9),"")</f>
        <v/>
      </c>
      <c r="H23" s="4"/>
    </row>
    <row r="24" spans="1:8" ht="15" customHeight="1" x14ac:dyDescent="0.25">
      <c r="A24" s="10" t="s">
        <v>39</v>
      </c>
      <c r="B24" s="11">
        <f>IFERROR(AVERAGEIF(B21:B23,"&lt;&gt;"),"")</f>
        <v>8032482.5</v>
      </c>
      <c r="C24" s="11">
        <f>IFERROR(IF(B24="","",B24/$B$6*$B$9),"")</f>
        <v>79.477026192453678</v>
      </c>
      <c r="D24" s="11">
        <f>IFERROR(AVERAGEIF(D21:D23,"&lt;&gt;"),"")</f>
        <v>9103237</v>
      </c>
      <c r="E24" s="11">
        <f>IFERROR(IF(D24="","",D24/$B$6*$B$9),"")</f>
        <v>90.071557016789441</v>
      </c>
      <c r="F24" s="11">
        <f>IFERROR(AVERAGEIF(F21:F23,"&lt;&gt;"),"")</f>
        <v>10122452.5</v>
      </c>
      <c r="G24" s="11">
        <f>IFERROR(IF(F24="","",F24/$B$6*$B$9),"")</f>
        <v>100.15613759188</v>
      </c>
      <c r="H24" s="5"/>
    </row>
    <row r="25" spans="1:8" ht="15" customHeight="1" x14ac:dyDescent="0.25">
      <c r="A25" s="12" t="s">
        <v>40</v>
      </c>
      <c r="B25" s="7">
        <f>IF(COUNTA(B21:B23)=0,"",STDEV(B21:B23)/B24*100)</f>
        <v>1.8671356992021673E-2</v>
      </c>
      <c r="C25" s="4"/>
      <c r="D25" s="7">
        <f>IF(COUNTA(D21:D23)=0,"",STDEV(D21:D23)/D24*100)</f>
        <v>0.35950196668367301</v>
      </c>
      <c r="E25" s="4"/>
      <c r="F25" s="7">
        <f>IF(COUNTA(F21:F23)=0,"",STDEV(F21:F23)/F24*100)</f>
        <v>0.31115638581057692</v>
      </c>
      <c r="G25" s="4"/>
      <c r="H25" s="4"/>
    </row>
    <row r="27" spans="1:8" ht="15" customHeight="1" x14ac:dyDescent="0.25">
      <c r="A27" s="3" t="s">
        <v>29</v>
      </c>
      <c r="B27" s="3" t="s">
        <v>41</v>
      </c>
      <c r="C27" s="3" t="s">
        <v>42</v>
      </c>
      <c r="D27" s="3" t="s">
        <v>43</v>
      </c>
      <c r="E27" s="3" t="s">
        <v>44</v>
      </c>
      <c r="F27" s="3"/>
      <c r="G27" s="3"/>
      <c r="H27" s="3"/>
    </row>
    <row r="28" spans="1:8" ht="15" customHeight="1" x14ac:dyDescent="0.25">
      <c r="A28" s="4" t="s">
        <v>36</v>
      </c>
      <c r="B28" s="9">
        <v>11139702</v>
      </c>
      <c r="C28" s="7">
        <f>IFERROR(IF(B28="","",B28/$B$6*$B$9),"")</f>
        <v>110.2212656709963</v>
      </c>
      <c r="D28" s="9">
        <v>12218985</v>
      </c>
      <c r="E28" s="7">
        <f>IFERROR(IF(D28="","",D28/$B$6*$B$9),"")</f>
        <v>120.90018134371269</v>
      </c>
      <c r="F28" s="4"/>
      <c r="G28" s="4"/>
      <c r="H28" s="4"/>
    </row>
    <row r="29" spans="1:8" ht="15" customHeight="1" x14ac:dyDescent="0.25">
      <c r="A29" s="5" t="s">
        <v>37</v>
      </c>
      <c r="B29" s="6">
        <v>11133505</v>
      </c>
      <c r="C29" s="8">
        <f>IFERROR(IF(B29="","",B29/$B$6*$B$9),"")</f>
        <v>110.15994974141729</v>
      </c>
      <c r="D29" s="6">
        <v>12252715</v>
      </c>
      <c r="E29" s="8">
        <f>IFERROR(IF(D29="","",D29/$B$6*$B$9),"")</f>
        <v>121.23392126701427</v>
      </c>
      <c r="F29" s="5"/>
      <c r="G29" s="5"/>
      <c r="H29" s="5"/>
    </row>
    <row r="30" spans="1:8" ht="15" customHeight="1" x14ac:dyDescent="0.25">
      <c r="A30" s="4" t="s">
        <v>38</v>
      </c>
      <c r="B30" s="9"/>
      <c r="C30" s="7" t="str">
        <f>IFERROR(IF(B30="","",B30/$B$6*$B$9),"")</f>
        <v/>
      </c>
      <c r="D30" s="9"/>
      <c r="E30" s="7" t="str">
        <f>IFERROR(IF(D30="","",D30/$B$6*$B$9),"")</f>
        <v/>
      </c>
      <c r="F30" s="4"/>
      <c r="G30" s="4"/>
      <c r="H30" s="4"/>
    </row>
    <row r="31" spans="1:8" ht="15" customHeight="1" x14ac:dyDescent="0.25">
      <c r="A31" s="10" t="s">
        <v>39</v>
      </c>
      <c r="B31" s="11">
        <f>IFERROR(AVERAGEIF(B28:B30,"&lt;&gt;"),"")</f>
        <v>11136603.5</v>
      </c>
      <c r="C31" s="11">
        <f>IFERROR(IF(B31="","",B31/$B$6*$B$9),"")</f>
        <v>110.19060770620679</v>
      </c>
      <c r="D31" s="11">
        <f>IFERROR(AVERAGEIF(D28:D30,"&lt;&gt;"),"")</f>
        <v>12235850</v>
      </c>
      <c r="E31" s="11">
        <f>IFERROR(IF(D31="","",D31/$B$6*$B$9),"")</f>
        <v>121.06705130536348</v>
      </c>
      <c r="F31" s="5"/>
      <c r="G31" s="5"/>
      <c r="H31" s="5"/>
    </row>
    <row r="32" spans="1:8" ht="15" customHeight="1" x14ac:dyDescent="0.25">
      <c r="A32" s="12" t="s">
        <v>40</v>
      </c>
      <c r="B32" s="7">
        <f>IF(COUNTA(B28:B30)=0,"",STDEV(B28:B30)/B31*100)</f>
        <v>3.9347191655095148E-2</v>
      </c>
      <c r="C32" s="4"/>
      <c r="D32" s="7">
        <f>IF(COUNTA(D28:D30)=0,"",STDEV(D28:D30)/D31*100)</f>
        <v>0.19492484567416443</v>
      </c>
      <c r="E32" s="4"/>
      <c r="F32" s="4"/>
      <c r="G32" s="4"/>
      <c r="H32" s="4"/>
    </row>
    <row r="34" spans="1:8" ht="15" customHeight="1" x14ac:dyDescent="0.25">
      <c r="A34" s="19" t="s">
        <v>45</v>
      </c>
      <c r="B34" s="19"/>
      <c r="C34" s="19"/>
      <c r="D34" s="19"/>
      <c r="E34" s="19"/>
      <c r="F34" s="19"/>
      <c r="G34" s="19"/>
      <c r="H34" s="19"/>
    </row>
    <row r="35" spans="1:8" ht="23.25" customHeight="1" x14ac:dyDescent="0.25">
      <c r="A35" s="3" t="s">
        <v>29</v>
      </c>
      <c r="B35" s="3" t="s">
        <v>30</v>
      </c>
      <c r="C35" s="3" t="s">
        <v>46</v>
      </c>
      <c r="D35" s="3" t="s">
        <v>34</v>
      </c>
      <c r="E35" s="3" t="s">
        <v>47</v>
      </c>
      <c r="F35" s="3" t="s">
        <v>43</v>
      </c>
      <c r="G35" s="3" t="s">
        <v>48</v>
      </c>
      <c r="H35" s="3"/>
    </row>
    <row r="36" spans="1:8" ht="15" customHeight="1" x14ac:dyDescent="0.25">
      <c r="A36" s="4" t="s">
        <v>36</v>
      </c>
      <c r="B36" s="9">
        <v>8181863</v>
      </c>
      <c r="C36" s="7">
        <f>IFERROR(IF(B36="","",B36/$B$6*$B$9),"")</f>
        <v>80.955064633389185</v>
      </c>
      <c r="D36" s="9">
        <v>10202900</v>
      </c>
      <c r="E36" s="7">
        <f>IFERROR(IF(D36="","",D36/$B$6*$B$9),"")</f>
        <v>100.95212165591218</v>
      </c>
      <c r="F36" s="9">
        <v>12098125</v>
      </c>
      <c r="G36" s="7">
        <f>IFERROR(IF(F36="","",F36/$B$6*$B$9),"")</f>
        <v>119.70433766952853</v>
      </c>
      <c r="H36" s="4"/>
    </row>
    <row r="37" spans="1:8" ht="15" customHeight="1" x14ac:dyDescent="0.25">
      <c r="A37" s="5" t="s">
        <v>37</v>
      </c>
      <c r="B37" s="6">
        <v>8223041</v>
      </c>
      <c r="C37" s="8">
        <f>IFERROR(IF(B37="","",B37/$B$6*$B$9),"")</f>
        <v>81.362498447848523</v>
      </c>
      <c r="D37" s="6">
        <v>10169861</v>
      </c>
      <c r="E37" s="8">
        <f>IFERROR(IF(D37="","",D37/$B$6*$B$9),"")</f>
        <v>100.6252188001173</v>
      </c>
      <c r="F37" s="6">
        <v>12106604</v>
      </c>
      <c r="G37" s="8">
        <f>IFERROR(IF(F37="","",F37/$B$6*$B$9),"")</f>
        <v>119.78823274245097</v>
      </c>
      <c r="H37" s="5"/>
    </row>
    <row r="38" spans="1:8" ht="15" customHeight="1" x14ac:dyDescent="0.25">
      <c r="A38" s="4" t="s">
        <v>38</v>
      </c>
      <c r="B38" s="9">
        <v>8194699</v>
      </c>
      <c r="C38" s="7">
        <f>IFERROR(IF(B38="","",B38/$B$6*$B$9),"")</f>
        <v>81.082069841082628</v>
      </c>
      <c r="D38" s="9">
        <v>10052852</v>
      </c>
      <c r="E38" s="7">
        <f>IFERROR(IF(D38="","",D38/$B$6*$B$9),"")</f>
        <v>99.4674786671319</v>
      </c>
      <c r="F38" s="9">
        <v>12081584</v>
      </c>
      <c r="G38" s="7">
        <f>IFERROR(IF(F38="","",F38/$B$6*$B$9),"")</f>
        <v>119.54067351087652</v>
      </c>
      <c r="H38" s="4"/>
    </row>
    <row r="39" spans="1:8" ht="15" customHeight="1" x14ac:dyDescent="0.25">
      <c r="A39" s="10" t="s">
        <v>39</v>
      </c>
      <c r="B39" s="13">
        <f>IFERROR(AVERAGEIF(B36:B38,"&lt;&gt;"),"")</f>
        <v>8199867.666666667</v>
      </c>
      <c r="C39" s="11">
        <f>IFERROR(IF(B39="","",B39/$B$6*$B$9),"")</f>
        <v>81.133210974106788</v>
      </c>
      <c r="D39" s="13">
        <f>IFERROR(AVERAGEIF(D36:D38,"&lt;&gt;"),"")</f>
        <v>10141871</v>
      </c>
      <c r="E39" s="11">
        <f>IFERROR(IF(D39="","",D39/$B$6*$B$9),"")</f>
        <v>100.3482730410538</v>
      </c>
      <c r="F39" s="13">
        <f>IFERROR(AVERAGEIF(F36:F38,"&lt;&gt;"),"")</f>
        <v>12095437.666666666</v>
      </c>
      <c r="G39" s="11">
        <f>IFERROR(IF(F39="","",F39/$B$6*$B$9),"")</f>
        <v>119.67774797428534</v>
      </c>
      <c r="H39" s="5"/>
    </row>
    <row r="40" spans="1:8" ht="15" customHeight="1" x14ac:dyDescent="0.25">
      <c r="A40" s="12" t="s">
        <v>40</v>
      </c>
      <c r="B40" s="7">
        <f>IF(COUNTA(B36:B38)=0,"",STDEV(B36:B38)/B39*100)</f>
        <v>0.25695489092393164</v>
      </c>
      <c r="C40" s="4"/>
      <c r="D40" s="7">
        <f>IF(COUNTA(D36:D38)=0,"",STDEV(D36:D38)/D39*100)</f>
        <v>0.77739855917183343</v>
      </c>
      <c r="E40" s="4"/>
      <c r="F40" s="7">
        <f>IF(COUNTA(F36:F38)=0,"",STDEV(F36:F38)/F39*100)</f>
        <v>0.10520196679974178</v>
      </c>
      <c r="G40" s="4"/>
      <c r="H40" s="4"/>
    </row>
    <row r="42" spans="1:8" ht="15" customHeight="1" x14ac:dyDescent="0.25">
      <c r="A42" s="19" t="s">
        <v>49</v>
      </c>
      <c r="B42" s="19"/>
      <c r="C42" s="19"/>
      <c r="D42" s="19"/>
      <c r="E42" s="19"/>
      <c r="F42" s="19"/>
      <c r="G42" s="19"/>
      <c r="H42" s="19"/>
    </row>
    <row r="43" spans="1:8" ht="15" customHeight="1" x14ac:dyDescent="0.25">
      <c r="A43" s="3" t="s">
        <v>50</v>
      </c>
      <c r="B43" s="3" t="s">
        <v>29</v>
      </c>
      <c r="C43" s="3" t="s">
        <v>23</v>
      </c>
      <c r="D43" s="3" t="s">
        <v>51</v>
      </c>
      <c r="E43" s="3"/>
      <c r="F43" s="3"/>
      <c r="G43" s="3"/>
      <c r="H43" s="3"/>
    </row>
    <row r="44" spans="1:8" ht="15" customHeight="1" x14ac:dyDescent="0.25">
      <c r="A44" s="5" t="s">
        <v>52</v>
      </c>
      <c r="B44" s="5" t="s">
        <v>36</v>
      </c>
      <c r="C44" s="6">
        <v>10054095</v>
      </c>
      <c r="D44" s="8">
        <f>IFERROR(C44/$B$6*$B$9,"")</f>
        <v>99.479777473081029</v>
      </c>
      <c r="E44" s="5"/>
      <c r="F44" s="5"/>
      <c r="G44" s="5"/>
      <c r="H44" s="5"/>
    </row>
    <row r="45" spans="1:8" ht="15" customHeight="1" x14ac:dyDescent="0.25">
      <c r="A45" s="4"/>
      <c r="B45" s="4" t="s">
        <v>37</v>
      </c>
      <c r="C45" s="9">
        <v>10171758</v>
      </c>
      <c r="D45" s="7">
        <f>IFERROR(C45/$B$6*$B$9,"")</f>
        <v>100.64398857878624</v>
      </c>
      <c r="E45" s="4"/>
      <c r="F45" s="4"/>
      <c r="G45" s="4"/>
      <c r="H45" s="4"/>
    </row>
    <row r="46" spans="1:8" ht="15" customHeight="1" x14ac:dyDescent="0.25">
      <c r="A46" s="5"/>
      <c r="B46" s="5" t="s">
        <v>38</v>
      </c>
      <c r="C46" s="6">
        <v>10254155</v>
      </c>
      <c r="D46" s="8">
        <f>IFERROR(C46/$B$6*$B$9,"")</f>
        <v>101.4592618803066</v>
      </c>
      <c r="E46" s="5"/>
      <c r="F46" s="5"/>
      <c r="G46" s="5"/>
      <c r="H46" s="5"/>
    </row>
    <row r="47" spans="1:8" ht="15" customHeight="1" x14ac:dyDescent="0.25">
      <c r="A47" s="5"/>
      <c r="B47" s="10" t="s">
        <v>53</v>
      </c>
      <c r="C47" s="13">
        <f>AVERAGE(C44:C46)</f>
        <v>10160002.666666666</v>
      </c>
      <c r="D47" s="11">
        <f>IFERROR(AVERAGE(D44:D46),"")</f>
        <v>100.5276759773913</v>
      </c>
      <c r="E47" s="5"/>
      <c r="F47" s="5"/>
      <c r="G47" s="5"/>
      <c r="H47" s="5"/>
    </row>
    <row r="48" spans="1:8" ht="15" customHeight="1" x14ac:dyDescent="0.25">
      <c r="A48" s="4"/>
      <c r="B48" s="12" t="s">
        <v>25</v>
      </c>
      <c r="C48" s="7">
        <f>STDEV(C44:C46)</f>
        <v>100546.7144979553</v>
      </c>
      <c r="D48" s="7">
        <f>IFERROR(STDEV(D44:D46),"")</f>
        <v>0.99485481128893205</v>
      </c>
      <c r="E48" s="4"/>
      <c r="F48" s="4"/>
      <c r="G48" s="4"/>
      <c r="H48" s="4"/>
    </row>
    <row r="49" spans="1:8" ht="15" customHeight="1" x14ac:dyDescent="0.25">
      <c r="A49" s="5"/>
      <c r="B49" s="10" t="s">
        <v>40</v>
      </c>
      <c r="C49" s="8">
        <f>IFERROR(C48/C47*100,"")</f>
        <v>0.98963275696602804</v>
      </c>
      <c r="D49" s="8">
        <f>IFERROR(D48/D47*100,"")</f>
        <v>0.98963275696602715</v>
      </c>
      <c r="E49" s="5"/>
      <c r="F49" s="5"/>
      <c r="G49" s="5"/>
      <c r="H49" s="5"/>
    </row>
    <row r="51" spans="1:8" ht="15" customHeight="1" x14ac:dyDescent="0.25">
      <c r="A51" s="5" t="s">
        <v>54</v>
      </c>
      <c r="B51" s="5" t="s">
        <v>36</v>
      </c>
      <c r="C51" s="6">
        <v>10273395</v>
      </c>
      <c r="D51" s="8">
        <f>IFERROR(C51/$B$6*$B$9,"")</f>
        <v>101.64963116949492</v>
      </c>
      <c r="E51" s="5"/>
      <c r="F51" s="5"/>
      <c r="G51" s="5"/>
      <c r="H51" s="5"/>
    </row>
    <row r="52" spans="1:8" ht="15" customHeight="1" x14ac:dyDescent="0.25">
      <c r="A52" s="4"/>
      <c r="B52" s="4" t="s">
        <v>37</v>
      </c>
      <c r="C52" s="9">
        <v>10259195</v>
      </c>
      <c r="D52" s="7">
        <f>IFERROR(C52/$B$6*$B$9,"")</f>
        <v>101.5091299269547</v>
      </c>
      <c r="E52" s="4"/>
      <c r="F52" s="4"/>
      <c r="G52" s="4"/>
      <c r="H52" s="4"/>
    </row>
    <row r="53" spans="1:8" ht="15" customHeight="1" x14ac:dyDescent="0.25">
      <c r="A53" s="5"/>
      <c r="B53" s="5" t="s">
        <v>38</v>
      </c>
      <c r="C53" s="6">
        <v>10268662</v>
      </c>
      <c r="D53" s="8">
        <f>IFERROR(C53/$B$6*$B$9,"")</f>
        <v>101.60280072013275</v>
      </c>
      <c r="E53" s="5"/>
      <c r="F53" s="5"/>
      <c r="G53" s="5"/>
      <c r="H53" s="5"/>
    </row>
    <row r="54" spans="1:8" ht="15" customHeight="1" x14ac:dyDescent="0.25">
      <c r="A54" s="5"/>
      <c r="B54" s="10" t="s">
        <v>53</v>
      </c>
      <c r="C54" s="13">
        <f>AVERAGE(C51:C53)</f>
        <v>10267084</v>
      </c>
      <c r="D54" s="11">
        <f>IFERROR(AVERAGE(D51:D53),"")</f>
        <v>101.58718727219411</v>
      </c>
      <c r="E54" s="5"/>
      <c r="F54" s="5"/>
      <c r="G54" s="5"/>
      <c r="H54" s="5"/>
    </row>
    <row r="55" spans="1:8" ht="15" customHeight="1" x14ac:dyDescent="0.25">
      <c r="A55" s="4"/>
      <c r="B55" s="12" t="s">
        <v>25</v>
      </c>
      <c r="C55" s="7">
        <f>STDEV(C51:C53)</f>
        <v>7230.3224686040112</v>
      </c>
      <c r="D55" s="14">
        <f>IFERROR(STDEV(D51:D53),"")</f>
        <v>7.1540090901786452E-2</v>
      </c>
      <c r="E55" s="4"/>
      <c r="F55" s="4"/>
      <c r="G55" s="4"/>
      <c r="H55" s="4"/>
    </row>
    <row r="56" spans="1:8" ht="15" customHeight="1" x14ac:dyDescent="0.25">
      <c r="A56" s="5"/>
      <c r="B56" s="10" t="s">
        <v>40</v>
      </c>
      <c r="C56" s="8">
        <f>IFERROR(C55/C54*100,"")</f>
        <v>7.0422356226987254E-2</v>
      </c>
      <c r="D56" s="8">
        <f>IFERROR(D55/D54*100,"")</f>
        <v>7.0422356226972738E-2</v>
      </c>
      <c r="E56" s="5"/>
      <c r="F56" s="5"/>
      <c r="G56" s="5"/>
      <c r="H56" s="5"/>
    </row>
    <row r="58" spans="1:8" ht="15" customHeight="1" x14ac:dyDescent="0.25">
      <c r="A58" s="5" t="s">
        <v>55</v>
      </c>
      <c r="B58" s="5" t="s">
        <v>36</v>
      </c>
      <c r="C58" s="6">
        <v>10238001</v>
      </c>
      <c r="D58" s="8">
        <f>IFERROR(C58/$B$13*$B$16,"")</f>
        <v>100.72595558881325</v>
      </c>
      <c r="E58" s="5"/>
      <c r="F58" s="5"/>
      <c r="G58" s="5"/>
      <c r="H58" s="5"/>
    </row>
    <row r="59" spans="1:8" ht="15" customHeight="1" x14ac:dyDescent="0.25">
      <c r="A59" s="4"/>
      <c r="B59" s="4" t="s">
        <v>37</v>
      </c>
      <c r="C59" s="9">
        <v>10330471</v>
      </c>
      <c r="D59" s="7">
        <f>IFERROR(C59/$B$13*$B$16,"")</f>
        <v>101.63571610879146</v>
      </c>
      <c r="E59" s="4"/>
      <c r="F59" s="4"/>
      <c r="G59" s="4"/>
      <c r="H59" s="4"/>
    </row>
    <row r="60" spans="1:8" ht="15" customHeight="1" x14ac:dyDescent="0.25">
      <c r="A60" s="5"/>
      <c r="B60" s="5" t="s">
        <v>38</v>
      </c>
      <c r="C60" s="6">
        <v>10317825</v>
      </c>
      <c r="D60" s="8">
        <f>IFERROR(C60/$B$13*$B$16,"")</f>
        <v>101.51129920021954</v>
      </c>
      <c r="E60" s="5"/>
      <c r="F60" s="5"/>
      <c r="G60" s="5"/>
      <c r="H60" s="5"/>
    </row>
    <row r="61" spans="1:8" ht="15" customHeight="1" x14ac:dyDescent="0.25">
      <c r="A61" s="5"/>
      <c r="B61" s="10" t="s">
        <v>53</v>
      </c>
      <c r="C61" s="13">
        <f>AVERAGE(C58:C60)</f>
        <v>10295432.333333334</v>
      </c>
      <c r="D61" s="11">
        <f>IFERROR(AVERAGE(D58:D60),"")</f>
        <v>101.29099029927475</v>
      </c>
      <c r="E61" s="5"/>
      <c r="F61" s="5"/>
      <c r="G61" s="5"/>
      <c r="H61" s="5"/>
    </row>
    <row r="62" spans="1:8" ht="15" customHeight="1" x14ac:dyDescent="0.25">
      <c r="A62" s="4"/>
      <c r="B62" s="12" t="s">
        <v>25</v>
      </c>
      <c r="C62" s="7">
        <f>STDEV(C58:C60)</f>
        <v>50137.300140048763</v>
      </c>
      <c r="D62" s="14">
        <f>IFERROR(STDEV(D58:D60),"")</f>
        <v>0.49327280464706402</v>
      </c>
      <c r="E62" s="4"/>
      <c r="F62" s="4"/>
      <c r="G62" s="4"/>
      <c r="H62" s="4"/>
    </row>
    <row r="63" spans="1:8" ht="15" customHeight="1" x14ac:dyDescent="0.25">
      <c r="A63" s="5"/>
      <c r="B63" s="10" t="s">
        <v>40</v>
      </c>
      <c r="C63" s="8">
        <f>IFERROR(C62/C61*100,"")</f>
        <v>0.4869858643791008</v>
      </c>
      <c r="D63" s="8">
        <f>IFERROR(D62/D61*100,"")</f>
        <v>0.48698586437909064</v>
      </c>
      <c r="E63" s="5"/>
      <c r="F63" s="5"/>
      <c r="G63" s="5"/>
      <c r="H63" s="5"/>
    </row>
    <row r="65" spans="1:8" ht="15" customHeight="1" x14ac:dyDescent="0.25">
      <c r="A65" s="19" t="s">
        <v>56</v>
      </c>
      <c r="B65" s="19"/>
      <c r="C65" s="19"/>
      <c r="D65" s="19"/>
      <c r="E65" s="19"/>
      <c r="F65" s="19"/>
      <c r="G65" s="19"/>
      <c r="H65" s="19"/>
    </row>
    <row r="66" spans="1:8" ht="15" customHeight="1" x14ac:dyDescent="0.25">
      <c r="A66" s="3" t="s">
        <v>57</v>
      </c>
      <c r="B66" s="3" t="s">
        <v>29</v>
      </c>
      <c r="C66" s="3" t="s">
        <v>23</v>
      </c>
      <c r="D66" s="3" t="s">
        <v>51</v>
      </c>
      <c r="E66" s="3" t="s">
        <v>58</v>
      </c>
      <c r="F66" s="3" t="s">
        <v>59</v>
      </c>
      <c r="G66" s="3" t="s">
        <v>25</v>
      </c>
      <c r="H66" s="3" t="s">
        <v>40</v>
      </c>
    </row>
    <row r="67" spans="1:8" ht="15" customHeight="1" x14ac:dyDescent="0.25">
      <c r="A67" s="5" t="s">
        <v>60</v>
      </c>
      <c r="B67" s="5" t="s">
        <v>36</v>
      </c>
      <c r="C67" s="6">
        <v>10193883</v>
      </c>
      <c r="D67" s="8">
        <f t="shared" ref="D67:D78" si="0">IFERROR(IF(C67="","",C67/$B$6*$B$9),"")</f>
        <v>100.86290336689913</v>
      </c>
      <c r="E67" s="13">
        <f>IFERROR(AVERAGEIF(C67:C69,"&lt;&gt;"),"")</f>
        <v>10191902.5</v>
      </c>
      <c r="F67" s="11">
        <f>IFERROR(IF(E67="","",E67/$B$6*$B$9),"")</f>
        <v>100.84330740134622</v>
      </c>
      <c r="G67" s="8">
        <f>IF(COUNTA(C67:C69)=0,"",STDEV(C67:C69))</f>
        <v>2800.8499602799147</v>
      </c>
      <c r="H67" s="8">
        <f>IF(G67="","",G67/E67*100)</f>
        <v>2.7481129850682094E-2</v>
      </c>
    </row>
    <row r="68" spans="1:8" ht="15" customHeight="1" x14ac:dyDescent="0.25">
      <c r="A68" s="4"/>
      <c r="B68" s="4" t="s">
        <v>37</v>
      </c>
      <c r="C68" s="9">
        <v>10189922</v>
      </c>
      <c r="D68" s="7">
        <f t="shared" si="0"/>
        <v>100.82371143579336</v>
      </c>
      <c r="E68" s="4"/>
      <c r="F68" s="4"/>
      <c r="G68" s="4"/>
      <c r="H68" s="4"/>
    </row>
    <row r="69" spans="1:8" ht="15" customHeight="1" x14ac:dyDescent="0.25">
      <c r="A69" s="5"/>
      <c r="B69" s="5" t="s">
        <v>38</v>
      </c>
      <c r="C69" s="6"/>
      <c r="D69" s="8" t="str">
        <f t="shared" si="0"/>
        <v/>
      </c>
      <c r="E69" s="5"/>
      <c r="F69" s="5"/>
      <c r="G69" s="5"/>
      <c r="H69" s="5"/>
    </row>
    <row r="70" spans="1:8" ht="15" customHeight="1" x14ac:dyDescent="0.25">
      <c r="A70" s="5" t="s">
        <v>61</v>
      </c>
      <c r="B70" s="5" t="s">
        <v>36</v>
      </c>
      <c r="C70" s="6">
        <v>9966185</v>
      </c>
      <c r="D70" s="8">
        <f t="shared" si="0"/>
        <v>98.609956048312441</v>
      </c>
      <c r="E70" s="13">
        <f>IFERROR(AVERAGEIF(C70:C72,"&lt;&gt;"),"")</f>
        <v>9989783.5</v>
      </c>
      <c r="F70" s="11">
        <f>IFERROR(IF(E70="","",E70/$B$6*$B$9),"")</f>
        <v>98.843450313952317</v>
      </c>
      <c r="G70" s="8">
        <f>IF(COUNTA(C70:C72)=0,"",STDEV(C70:C72))</f>
        <v>33373.318751661485</v>
      </c>
      <c r="H70" s="8">
        <f>IF(G70="","",G70/E70*100)</f>
        <v>0.3340744947241498</v>
      </c>
    </row>
    <row r="71" spans="1:8" ht="15" customHeight="1" x14ac:dyDescent="0.25">
      <c r="A71" s="4"/>
      <c r="B71" s="4" t="s">
        <v>37</v>
      </c>
      <c r="C71" s="9">
        <v>10013382</v>
      </c>
      <c r="D71" s="7">
        <f t="shared" si="0"/>
        <v>99.076944579592194</v>
      </c>
      <c r="E71" s="4"/>
      <c r="F71" s="4"/>
      <c r="G71" s="4"/>
      <c r="H71" s="4"/>
    </row>
    <row r="72" spans="1:8" ht="15" customHeight="1" x14ac:dyDescent="0.25">
      <c r="A72" s="5"/>
      <c r="B72" s="5" t="s">
        <v>38</v>
      </c>
      <c r="C72" s="6"/>
      <c r="D72" s="8" t="str">
        <f t="shared" si="0"/>
        <v/>
      </c>
      <c r="E72" s="5"/>
      <c r="F72" s="5"/>
      <c r="G72" s="5"/>
      <c r="H72" s="5"/>
    </row>
    <row r="73" spans="1:8" ht="15" customHeight="1" x14ac:dyDescent="0.25">
      <c r="A73" s="5" t="s">
        <v>62</v>
      </c>
      <c r="B73" s="5" t="s">
        <v>36</v>
      </c>
      <c r="C73" s="6">
        <v>9952769</v>
      </c>
      <c r="D73" s="8">
        <f t="shared" si="0"/>
        <v>98.477212057473011</v>
      </c>
      <c r="E73" s="13">
        <f>IFERROR(AVERAGEIF(C73:C75,"&lt;&gt;"),"")</f>
        <v>9956062.5</v>
      </c>
      <c r="F73" s="11">
        <f>IFERROR(IF(E73="","",E73/$B$6*$B$9),"")</f>
        <v>98.509799440734014</v>
      </c>
      <c r="G73" s="8">
        <f>IF(COUNTA(C73:C75)=0,"",STDEV(C73:C75))</f>
        <v>4657.7123676757883</v>
      </c>
      <c r="H73" s="8">
        <f>IF(G73="","",G73/E73*100)</f>
        <v>4.6782675055282025E-2</v>
      </c>
    </row>
    <row r="74" spans="1:8" ht="15" customHeight="1" x14ac:dyDescent="0.25">
      <c r="A74" s="4"/>
      <c r="B74" s="4" t="s">
        <v>37</v>
      </c>
      <c r="C74" s="9">
        <v>9959356</v>
      </c>
      <c r="D74" s="7">
        <f t="shared" si="0"/>
        <v>98.542386823995031</v>
      </c>
      <c r="E74" s="4"/>
      <c r="F74" s="4"/>
      <c r="G74" s="4"/>
      <c r="H74" s="4"/>
    </row>
    <row r="75" spans="1:8" ht="15" customHeight="1" x14ac:dyDescent="0.25">
      <c r="A75" s="5"/>
      <c r="B75" s="5" t="s">
        <v>38</v>
      </c>
      <c r="C75" s="6"/>
      <c r="D75" s="8" t="str">
        <f t="shared" si="0"/>
        <v/>
      </c>
      <c r="E75" s="5"/>
      <c r="F75" s="5"/>
      <c r="G75" s="5"/>
      <c r="H75" s="5"/>
    </row>
    <row r="76" spans="1:8" ht="15" customHeight="1" x14ac:dyDescent="0.25">
      <c r="A76" s="5" t="s">
        <v>63</v>
      </c>
      <c r="B76" s="5" t="s">
        <v>36</v>
      </c>
      <c r="C76" s="6">
        <v>10068648</v>
      </c>
      <c r="D76" s="8">
        <f t="shared" si="0"/>
        <v>99.62377145777738</v>
      </c>
      <c r="E76" s="13">
        <f>IFERROR(AVERAGEIF(C76:C78,"&lt;&gt;"),"")</f>
        <v>10046204</v>
      </c>
      <c r="F76" s="11">
        <f>IFERROR(IF(E76="","",E76/$B$6*$B$9),"")</f>
        <v>99.401700338934191</v>
      </c>
      <c r="G76" s="8">
        <f>IF(COUNTA(C76:C78)=0,"",STDEV(C76:C78))</f>
        <v>31740.609193901746</v>
      </c>
      <c r="H76" s="8">
        <f>IF(G76="","",G76/E76*100)</f>
        <v>0.31594629368368138</v>
      </c>
    </row>
    <row r="77" spans="1:8" ht="15" customHeight="1" x14ac:dyDescent="0.25">
      <c r="A77" s="4"/>
      <c r="B77" s="4" t="s">
        <v>37</v>
      </c>
      <c r="C77" s="9">
        <v>10023760</v>
      </c>
      <c r="D77" s="7">
        <f t="shared" si="0"/>
        <v>99.179629220090987</v>
      </c>
      <c r="E77" s="4"/>
      <c r="F77" s="4"/>
      <c r="G77" s="4"/>
      <c r="H77" s="4"/>
    </row>
    <row r="78" spans="1:8" ht="15" customHeight="1" x14ac:dyDescent="0.25">
      <c r="A78" s="5"/>
      <c r="B78" s="5" t="s">
        <v>38</v>
      </c>
      <c r="C78" s="6"/>
      <c r="D78" s="8" t="str">
        <f t="shared" si="0"/>
        <v/>
      </c>
      <c r="E78" s="5"/>
      <c r="F78" s="5"/>
      <c r="G78" s="5"/>
      <c r="H78" s="5"/>
    </row>
    <row r="80" spans="1:8" ht="15" customHeight="1" x14ac:dyDescent="0.25">
      <c r="A80" s="19" t="s">
        <v>64</v>
      </c>
      <c r="B80" s="19"/>
      <c r="C80" s="19"/>
      <c r="D80" s="19"/>
      <c r="E80" s="19"/>
      <c r="F80" s="19"/>
      <c r="G80" s="19"/>
      <c r="H80" s="19"/>
    </row>
    <row r="81" spans="1:10" ht="15" customHeight="1" x14ac:dyDescent="0.25">
      <c r="A81" s="3" t="s">
        <v>65</v>
      </c>
      <c r="B81" s="3" t="s">
        <v>66</v>
      </c>
      <c r="C81" s="3" t="s">
        <v>23</v>
      </c>
      <c r="D81" s="3" t="s">
        <v>51</v>
      </c>
      <c r="E81" s="3"/>
      <c r="F81" s="3"/>
      <c r="G81" s="3"/>
      <c r="H81" s="3"/>
    </row>
    <row r="82" spans="1:10" ht="15" customHeight="1" x14ac:dyDescent="0.25">
      <c r="A82" s="4" t="s">
        <v>67</v>
      </c>
      <c r="B82" s="4" t="s">
        <v>68</v>
      </c>
      <c r="C82" s="9">
        <v>10250991</v>
      </c>
      <c r="D82" s="7">
        <f>C83/$C$82*$B$16</f>
        <v>101.3481160797039</v>
      </c>
      <c r="E82" s="4"/>
      <c r="F82" s="4"/>
      <c r="G82" s="4"/>
      <c r="H82" s="4"/>
    </row>
    <row r="83" spans="1:10" ht="15" customHeight="1" x14ac:dyDescent="0.25">
      <c r="A83" s="5"/>
      <c r="B83" s="5" t="s">
        <v>69</v>
      </c>
      <c r="C83" s="6">
        <v>10424630</v>
      </c>
      <c r="D83" s="5"/>
      <c r="E83" s="5"/>
      <c r="F83" s="5"/>
      <c r="G83" s="5"/>
      <c r="H83" s="5"/>
    </row>
    <row r="84" spans="1:10" ht="15" customHeight="1" x14ac:dyDescent="0.25">
      <c r="A84" s="5" t="s">
        <v>70</v>
      </c>
      <c r="B84" s="5" t="s">
        <v>68</v>
      </c>
      <c r="C84" s="6">
        <v>10265336</v>
      </c>
      <c r="D84" s="8">
        <f>C85/$C$84*$B$16</f>
        <v>101.47514093255204</v>
      </c>
      <c r="E84" s="5"/>
      <c r="F84" s="5"/>
      <c r="G84" s="5"/>
      <c r="H84" s="5"/>
    </row>
    <row r="85" spans="1:10" ht="15" customHeight="1" x14ac:dyDescent="0.25">
      <c r="A85" s="4"/>
      <c r="B85" s="4" t="s">
        <v>69</v>
      </c>
      <c r="C85" s="9">
        <v>10452302</v>
      </c>
      <c r="D85" s="4"/>
      <c r="E85" s="4"/>
      <c r="F85" s="4"/>
      <c r="G85" s="4"/>
      <c r="H85" s="4"/>
    </row>
    <row r="87" spans="1:10" ht="15" customHeight="1" x14ac:dyDescent="0.25">
      <c r="A87" s="19" t="s">
        <v>71</v>
      </c>
      <c r="B87" s="19"/>
      <c r="C87" s="19"/>
      <c r="D87" s="19"/>
      <c r="E87" s="19"/>
      <c r="F87" s="19"/>
      <c r="G87" s="19"/>
      <c r="H87" s="19"/>
    </row>
    <row r="88" spans="1:10" ht="23.25" customHeight="1" x14ac:dyDescent="0.25">
      <c r="A88" s="3" t="s">
        <v>72</v>
      </c>
      <c r="B88" s="3" t="s">
        <v>73</v>
      </c>
      <c r="C88" s="3" t="s">
        <v>74</v>
      </c>
      <c r="D88" s="3" t="s">
        <v>75</v>
      </c>
      <c r="E88" s="3" t="s">
        <v>76</v>
      </c>
      <c r="F88" s="3" t="s">
        <v>77</v>
      </c>
      <c r="G88" s="3" t="s">
        <v>78</v>
      </c>
      <c r="H88" s="3" t="s">
        <v>79</v>
      </c>
    </row>
    <row r="89" spans="1:10" ht="15" customHeight="1" x14ac:dyDescent="0.25">
      <c r="A89" s="4" t="s">
        <v>80</v>
      </c>
      <c r="B89" s="15">
        <v>2.9759999999999999E-3</v>
      </c>
      <c r="C89" s="14">
        <v>2.9762</v>
      </c>
      <c r="D89" s="9">
        <v>200844.79</v>
      </c>
      <c r="E89" s="7">
        <v>62706.37</v>
      </c>
      <c r="F89" s="7">
        <v>69527964.640000001</v>
      </c>
      <c r="G89" s="16">
        <v>0.99945899999999999</v>
      </c>
      <c r="H89" s="4"/>
    </row>
    <row r="90" spans="1:10" ht="15" customHeight="1" x14ac:dyDescent="0.25">
      <c r="A90" s="5" t="s">
        <v>81</v>
      </c>
      <c r="B90" s="17">
        <v>9.0189999999999992E-3</v>
      </c>
      <c r="C90" s="18">
        <v>9.0189000000000004</v>
      </c>
      <c r="D90" s="6">
        <v>608620.57999999996</v>
      </c>
      <c r="E90" s="8"/>
      <c r="F90" s="8"/>
      <c r="G90" s="17"/>
      <c r="H90" s="5"/>
    </row>
    <row r="93" spans="1:10" ht="15" customHeight="1" x14ac:dyDescent="0.25">
      <c r="A93" s="19" t="s">
        <v>82</v>
      </c>
      <c r="B93" s="19"/>
      <c r="C93" s="19"/>
      <c r="D93" s="19"/>
      <c r="E93" s="19"/>
      <c r="F93" s="19"/>
      <c r="G93" s="19"/>
      <c r="H93" s="19"/>
    </row>
    <row r="94" spans="1:10" ht="15" customHeight="1" x14ac:dyDescent="0.25">
      <c r="I94" t="s">
        <v>83</v>
      </c>
      <c r="J94" t="s">
        <v>58</v>
      </c>
    </row>
    <row r="95" spans="1:10" ht="15" customHeight="1" x14ac:dyDescent="0.25">
      <c r="I95">
        <v>0.1215</v>
      </c>
      <c r="J95">
        <v>8032482.5</v>
      </c>
    </row>
    <row r="96" spans="1:10" ht="15" customHeight="1" x14ac:dyDescent="0.25">
      <c r="I96">
        <v>0.13500000000000001</v>
      </c>
      <c r="J96">
        <v>9103237</v>
      </c>
    </row>
    <row r="97" spans="9:10" ht="15" customHeight="1" x14ac:dyDescent="0.25">
      <c r="I97">
        <v>0.15</v>
      </c>
      <c r="J97">
        <v>10122452.5</v>
      </c>
    </row>
    <row r="98" spans="9:10" ht="15" customHeight="1" x14ac:dyDescent="0.25">
      <c r="I98">
        <v>0.16500000000000001</v>
      </c>
      <c r="J98">
        <v>11136603.5</v>
      </c>
    </row>
    <row r="99" spans="9:10" ht="15" customHeight="1" x14ac:dyDescent="0.25">
      <c r="I99">
        <v>0.18149999999999999</v>
      </c>
      <c r="J99">
        <v>12235850</v>
      </c>
    </row>
  </sheetData>
  <mergeCells count="9">
    <mergeCell ref="A65:H65"/>
    <mergeCell ref="A80:H80"/>
    <mergeCell ref="A87:H87"/>
    <mergeCell ref="A93:H93"/>
    <mergeCell ref="A1:H1"/>
    <mergeCell ref="A3:H3"/>
    <mergeCell ref="A19:H19"/>
    <mergeCell ref="A34:H34"/>
    <mergeCell ref="A42:H4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 Info</vt:lpstr>
      <vt:lpstr>Validation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Muhammad Zain Amin</cp:lastModifiedBy>
  <cp:revision>7</cp:revision>
  <dcterms:created xsi:type="dcterms:W3CDTF">2026-05-03T07:58:30Z</dcterms:created>
  <dcterms:modified xsi:type="dcterms:W3CDTF">2026-05-10T11:53:24Z</dcterms:modified>
  <dc:language>en-US</dc:language>
</cp:coreProperties>
</file>